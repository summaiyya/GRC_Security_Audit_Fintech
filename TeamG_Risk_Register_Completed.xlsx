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Risk Register" sheetId="2" r:id="rId6"/>
    <sheet state="visible" name="Risk Summary" sheetId="3" r:id="rId7"/>
  </sheets>
  <definedNames/>
  <calcPr/>
</workbook>
</file>

<file path=xl/sharedStrings.xml><?xml version="1.0" encoding="utf-8"?>
<sst xmlns="http://schemas.openxmlformats.org/spreadsheetml/2006/main" count="164" uniqueCount="148">
  <si>
    <t>Risk ID</t>
  </si>
  <si>
    <t>Title</t>
  </si>
  <si>
    <t>Description</t>
  </si>
  <si>
    <t>Control Ref (ITGC)</t>
  </si>
  <si>
    <t>Likelihood (1-5)</t>
  </si>
  <si>
    <t>FinTrust United Africa — Risk Register &amp; Findings Template (PEER AUDIT: TEAM G)</t>
  </si>
  <si>
    <t>Risk Summary</t>
  </si>
  <si>
    <t>Impact (1-5)</t>
  </si>
  <si>
    <t>Risk Score</t>
  </si>
  <si>
    <t>Rating</t>
  </si>
  <si>
    <t>Governance, Risk &amp; Compliance | Cybersecurity Mentorship Programme 2026</t>
  </si>
  <si>
    <t>Auto-counts from the Risk Register as you rate risks.</t>
  </si>
  <si>
    <t>Business / Regulatory Consequence</t>
  </si>
  <si>
    <t>Remediation Recommendation</t>
  </si>
  <si>
    <t>Priority</t>
  </si>
  <si>
    <t>Owner / Notes</t>
  </si>
  <si>
    <t>R-01</t>
  </si>
  <si>
    <t>Total risks logged</t>
  </si>
  <si>
    <t>No Account Lockout or Rate-Limiting — Brute Force Confirmed</t>
  </si>
  <si>
    <t>The application imposes no lockout, rate-limiting, or CAPTCHA on repeated failed logins. Pentester confirmed: 15 consecutive failed login attempts (via automated curl loop, 0.3s apart) returned HTTP 401 each time with no increasing delay, no block, and no CAPTCHA at any point. Brute-force exploitation is unimpeded.</t>
  </si>
  <si>
    <t>AC-01</t>
  </si>
  <si>
    <t>What this workbook is</t>
  </si>
  <si>
    <t>This is where control gaps and findings become rated risks. Every 'Gap' from your ITGC Audit Matrix — and every relevant exploit the pentest team demonstrates — should be recorded here as a risk, rated, and given a remediation recommendation. This register feeds directly into your final report.</t>
  </si>
  <si>
    <t>Critical</t>
  </si>
  <si>
    <t>Enables brute-force and credential-stuffing attacks; any account can be compromised without detection. Violates NIST SP 800-63B and PCI-DSS requirement 8.3.4.</t>
  </si>
  <si>
    <t>Implement account lockout after 5 consecutive failed attempts with progressive delay; notify account owner by email; log failed attempts for SIEM alerting.</t>
  </si>
  <si>
    <t>Owner: Team G — Back-End Dev | Notes: PENTESTER CONFIRMED. 15 automated failed logins returned 401 with zero throttling or lockout. L upgraded 4→5. Implement server-side lockout after 5 failures with progressive delay. Cross-ref: AC-01.</t>
  </si>
  <si>
    <t>High</t>
  </si>
  <si>
    <t>How to use it</t>
  </si>
  <si>
    <t>R-02</t>
  </si>
  <si>
    <t>All Traffic Served Over Plain HTTP — No TLS/HTTPS</t>
  </si>
  <si>
    <t>The platform operates entirely over unencrypted HTTP. Login credentials, session tokens, financial transaction data, and PII are transmitted in cleartext and are trivially interceptable on any network path.</t>
  </si>
  <si>
    <t>CR-01</t>
  </si>
  <si>
    <t>1. Go to the 'Risk Register' tab. Add one row per risk/finding.</t>
  </si>
  <si>
    <t>Medium</t>
  </si>
  <si>
    <t>Complete exposure of credentials and financial data in transit; satisfies attack scenario for man-in-the-middle interception. Direct breach of PCI-DSS requirement 4.2.1 and ISO 27001 A.10.1. Regulatory penalties and customer fraud liability.</t>
  </si>
  <si>
    <t>Procure and deploy a valid TLS certificate immediately; redirect all HTTP to HTTPS; enforce HSTS (Strict-Transport-Security header); disable all plaintext endpoints.</t>
  </si>
  <si>
    <t>2. Describe the risk, link it to the control reference from your ITGC matrix.</t>
  </si>
  <si>
    <t>Owner: Team G — Infrastructure / DevOps | Notes: Most critical finding — all traffic in cleartext. Requires TLS certificate procurement and HTTPS enforcement before go-live. Cross-ref: CR-01.</t>
  </si>
  <si>
    <t>Low</t>
  </si>
  <si>
    <t>3. Rate Likelihood (1-5) and Impact (1-5) using the dropdowns. The Risk Score and Rating calculate automatically.</t>
  </si>
  <si>
    <t>R-03</t>
  </si>
  <si>
    <t>No Session Timeout — Sessions Persist Indefinitely</t>
  </si>
  <si>
    <t>Authenticated sessions do not expire after a period of inactivity. Testing confirmed that a session remained fully active after 30 minutes of idle time with no re-authentication prompt.</t>
  </si>
  <si>
    <t>AC-04</t>
  </si>
  <si>
    <t>4. State the business/regulatory consequence — what it means for a real fintech (fraud, KYC/AML failure, data breach, regulatory penalty).</t>
  </si>
  <si>
    <t>Unattended or shared devices expose live authenticated sessions to takeover by any person with physical or remote access. Elevated risk for customer funds and personal data. Conflicts with ISO 27001 A.9.4.2 and PCI-DSS 8.2.8.</t>
  </si>
  <si>
    <t>Enforce a 15-minute idle session timeout server-side; invalidate tokens on expiry; prompt user to re-authenticate; implement absolute session limit of 8 hours.</t>
  </si>
  <si>
    <t>5. Recommend remediation and set a priority.</t>
  </si>
  <si>
    <t>Owner: Team G — Back-End Dev | Notes: Session remained active after 30 min idle with no expiry. Server-side token expiry must be enforced; client-side timeout alone is insufficient. Cross-ref: AC-04.</t>
  </si>
  <si>
    <t>R-04</t>
  </si>
  <si>
    <t>Stored XSS in Transaction Reference Field — Executes in Admin Session</t>
  </si>
  <si>
    <t>A stored XSS payload using an event-handler bypass (&lt;img src=x onerror=alert(document.cookie)&gt;) injected into the transaction "reference" field was accepted and stored. When an administrator viewed the Transactions tab in the Admin Panel, the payload executed as JavaScript in the admin browser session. Note: basic &lt;script&gt; tags are filtered but the event-handler bypass was not. No Content-Security-Policy headers are present on any endpoint.</t>
  </si>
  <si>
    <t>IN-02</t>
  </si>
  <si>
    <t>Scoring</t>
  </si>
  <si>
    <t>Stored XSS executing in an admin browser can steal session cookies, hijack admin sessions, exfiltrate sensitive data, or perform admin actions on behalf of an attacker. Constitutes a critical web application vulnerability (OWASP Top 10 A3).</t>
  </si>
  <si>
    <t>HTML-encode all user-supplied output at the point of rendering; implement a strict Content Security Policy (CSP) to block inline script execution; conduct a full XSS audit of all input fields.</t>
  </si>
  <si>
    <t>Risk Score = Likelihood x Impact (1-25). Rating bands: 1-4 Low, 5-9 Medium, 10-14 High, 15-25 Critical.</t>
  </si>
  <si>
    <t>Owner: Team G — Front-End / Back-End Dev | Notes: PENTESTER CONFIRMED. &lt;img onerror&gt; payload fired alert in admin panel Transactions tab. Basic &lt;script&gt; tag filtered but event handler bypass works. No CSP headers. Session appears httpOnly-protected (cookie theft likely blocked), but DOM manipulation and forged admin actions remain possible. Cross-ref: IN-02.</t>
  </si>
  <si>
    <t>R-05</t>
  </si>
  <si>
    <t>Password Reset Token Returned in Plaintext API Response (Debug Token Exposed)</t>
  </si>
  <si>
    <t>The forgot-password endpoint (POST /api/auth/forgot-password) returns the reset token directly in the API response body as "debug_token":"XXXX". The token is a 4-digit numeric code (e.g. "6348") — low entropy and trivially guessable even without the debug exposure. Pentester confirmed the token is functional: POST /api/auth/reset-password using the returned token resets the password successfully. Any authenticated or network-observing attacker can reset any account by reading the token from the API response.</t>
  </si>
  <si>
    <t>RA-01</t>
  </si>
  <si>
    <t>Rating bands</t>
  </si>
  <si>
    <t>Any user account — including admin accounts — can have its password reset by any party who can observe the API response. 4-digit token trivially brute-forceable even without the debug leak. Complete account takeover vector. Violates ISO 27001 A.9.4.2, PCI-DSS 8.3 and OWASP authentication guidance.</t>
  </si>
  <si>
    <t>Remove the debug_token field from all API responses immediately. Replace 4-digit code with a cryptographically random 32+ character token. Deliver only via verified email, not in the API response. Set token TTL to 15 minutes maximum. Invalidate after single use.</t>
  </si>
  <si>
    <t>Low (1-4)</t>
  </si>
  <si>
    <t>Owner: Team G — Back-End Dev | Notes: PENTESTER CONFIRMED. debug_token:"6348" returned directly in forgot-password API response. 4-digit token — trivially guessable AND exposed. Full account takeover possible on any account. L upgraded 3→5, I upgraded 3→4. Cross-ref: RA-01.</t>
  </si>
  <si>
    <t>R-06</t>
  </si>
  <si>
    <t>Audit Logs Present but No Monitoring or Alerting</t>
  </si>
  <si>
    <t>An audit log tab exists in the admin panel but logs are not exported to an external system, and no real-time alerting is configured for suspicious events (failed logins, privilege changes, large transactions).</t>
  </si>
  <si>
    <t>LM-01</t>
  </si>
  <si>
    <t>Medium (5-9)</t>
  </si>
  <si>
    <t>Security incidents cannot be detected in real time or investigated post-breach. No evidential audit trail for regulatory or forensic purposes. Violates ISO 27001 A.12.4 and PCI-DSS requirement 10.</t>
  </si>
  <si>
    <t>Integrate logs with a SIEM platform; configure alerts for: ≥3 failed logins, privilege escalation, transactions above threshold; export logs to immutable, tamper-evident storage.</t>
  </si>
  <si>
    <t>High (10-14)</t>
  </si>
  <si>
    <t>Owner: Team G — Security / DevOps | Notes: Audit log tab visible in admin panel but no SIEM integration or alerting configured. Logs are readable but not actionable. Cross-ref: LM-01.</t>
  </si>
  <si>
    <t>R-07</t>
  </si>
  <si>
    <t>Critical (15-25)</t>
  </si>
  <si>
    <t>Verbose Error Messages — PostgreSQL Errors and Node.js Stack Traces Exposed</t>
  </si>
  <si>
    <t>Two confirmed error disclosure vectors: (1) Raw PostgreSQL error messages (table references, query fragments) returned to the browser during transaction and search testing. (2) Pentester confirmed: sending malformed JSON to POST /api/auth/login returns a full Node.js/Express stack trace including internal file paths (/app/node_modules/body-parser/lib/types/json.js, raw-body/index.js) and framework internals. Both expose internal architecture and aid targeted attack.</t>
  </si>
  <si>
    <t>CM-02</t>
  </si>
  <si>
    <t>Exposes internal database structure, table names, and query logic to attackers; directly aids SQL injection reconnaissance. Violates secure coding principles (OWASP A05) and PCI-DSS requirement 6.3.</t>
  </si>
  <si>
    <t>Replace all raw exception output with generic user-facing error messages; log full error detail server-side only; enforce error handling middleware across all endpoints.</t>
  </si>
  <si>
    <t>Owner: Team G — Back-End Dev | Notes: PENTESTER CONFIRMED. Malformed JSON to /api/auth/login returns full Node.js/Express stack trace with internal paths. Also PostgreSQL errors exposed during BL-01/IN-01 testing. Suppress all stack traces in production; return only generic messages. Log full details server-side only. Cross-ref: CM-02.</t>
  </si>
  <si>
    <t>R-08</t>
  </si>
  <si>
    <t>KYC Accepts Fake Documents AND Allows Self-Approval via API Parameter</t>
  </si>
  <si>
    <t>Pentester confirmed two critical KYC failures: (1) The KYC form accepted obviously fake identity details — doc_type:"National ID", doc_number:"12345678" — with no validation error or manual review queue. (2) The same POST /api/kyc/submit endpoint accepts a client-supplied "status":"verified" field, which immediately sets the account KYC status to Verified. Screenshot confirmed the Verification page flipped from Pending to green "Verified" instantly. No server-side verification logic exists — the API trusts the client entirely.</t>
  </si>
  <si>
    <t>ID-01</t>
  </si>
  <si>
    <t>Violates AML/KYC obligations under financial services regulation; enables anonymous or fraudulent account activation; exposes the organisation to regulatory penalties, licence revocation, and facilitation of money laundering.</t>
  </si>
  <si>
    <t>Integrate a regulated third-party identity verification provider (e.g., Smile Identity, Onfido); enforce document liveness and biometric matching; require compliance team sign-off before account activation.</t>
  </si>
  <si>
    <t>Owner: Team G — Back-End Dev / Compliance | Notes: PENTESTER CONFIRMED — WORSENED. Not only are fake documents accepted, but "status":"verified" in the request body immediately self-approves KYC. Account verified with NIN "12345678" and no document uploaded. L upgraded 4→5. Most severe AML/regulatory risk. Cross-ref: ID-01.</t>
  </si>
  <si>
    <t>R-09</t>
  </si>
  <si>
    <t>Mass Assignment Allows Any User to Escalate to Admin Role</t>
  </si>
  <si>
    <t>Pentester confirmed: PUT /api/users/me (the profile update endpoint) accepts a "role":"admin" field with no allow-list or server-side protection against mass assignment. Sending this field alongside legitimate profile update fields (full_name, phone) caused the account to be recognised as a genuine admin at the data layer. The attacker's account was listed as "ADMIN" in the Admin Panel. JWT token manipulation was correctly rejected (403, "invalid signature"), but mass assignment via a legitimate endpoint bypassed this protection entirely.</t>
  </si>
  <si>
    <t>AC-03 / GV-01</t>
  </si>
  <si>
    <t>Ungoverned admin accounts increase insider threat risk and attack surface. The missing KYC management function means no admin can oversee identity verification, leaving the KYC process without human oversight or controls. Violates ISO 27001 A.5.15, A.5.18 and PCI-DSS 7.2. Combined with ID-01 finding, this represents a systemic AML/KYC governance failure.</t>
  </si>
  <si>
    <t>Conduct immediate access review — document justification for both admin accounts or remove the secondary account. Implement a KYC management interface in the admin panel. Enforce quarterly privileged access recertification. Require MFA on all admin accounts.</t>
  </si>
  <si>
    <t>Owner: Team G — Back-End Dev | Notes: PENTESTER CONFIRMED. PUT /api/users/me accepts role:"admin" — mass assignment. Account escalated to genuine admin. L upgraded 2→4, score now Critical. Implement strict allow-list for all updateable fields; strip any role/privilege fields from user-editable endpoints. Cross-ref: AC-03, GV-01.</t>
  </si>
  <si>
    <t>R-10</t>
  </si>
  <si>
    <t>Confirmed SQL Injection — Full Database Dump via /api/transactions/search</t>
  </si>
  <si>
    <t>Pentester confirmed SQL injection on GET /api/transactions/search?q=. Attack chain: (1) q=' returned HTTP 500 "unterminated quoted string" PostgreSQL error, confirming string interpolation. (2) ORDER BY payload confirmed query structure. (3) Boolean-true (AND 1=1) returned 200 OK. (4) CAST(version()) error revealed PostgreSQL 15.18 on Alpine Linux x86_64-musl. (5) string_agg payload extracted every user's email address and bcrypt password hash from the database. All 18+ user accounts' credentials are compromised. Login endpoint appears parameterised (safe), but the search endpoint is not.</t>
  </si>
  <si>
    <t>IN-01</t>
  </si>
  <si>
    <t>Complete database compromise — all user credentials extracted. Bcrypt hashes are offline-crackable. If any passwords are reused across services, secondary compromise follows. Full financial and personal data accessible via SQL. Constitutes a notifiable data breach. OWASP Top 10 A1; PCI-DSS 6.3.3; ISO 27001 A.14.2.</t>
  </si>
  <si>
    <t>Immediately parameterise /api/transactions/search using prepared statements. Audit all endpoints for string interpolation. Deploy WAF with SQL injection rules as a secondary control. Force password reset for all users. Conduct full database integrity audit to check for unauthorised data modification.</t>
  </si>
  <si>
    <t>Owner: Team G — Back-End Dev | Notes: PENTESTER CONFIRMED — CRITICAL. SQL injection fully exploited: PostgreSQL version disclosed, all user emails + bcrypt hashes extracted. L upgraded 3→5, score now 25 (maximum). Immediate remediation required. Cross-ref: IN-01.</t>
  </si>
  <si>
    <t>R-11</t>
  </si>
  <si>
    <t>Negative Transaction Amounts Accepted and Self-Approved Loans with Negative Interest</t>
  </si>
  <si>
    <t>Pentester confirmed three BL-01 failures: (1) POST /api/transactions accepted amount:"-200000" — a negative value — marked the transaction "completed" and produced a corrupted account balance (₦-340,000.00 observed). (2) POST /api/loans/apply accepted a client-supplied "status":"approved" field, bypassing underwriting — loan of ₦500,000 self-approved instantly. (3) The same endpoint accepted "interest_rate":"-10.00" — a negative interest rate — producing a loan where repay_amount (₦450,000) is less than the principal (₦500,000). All tests performed directly via Burp Repeater, bypassing the browser UI.</t>
  </si>
  <si>
    <t>BL-01</t>
  </si>
  <si>
    <t>Negative transactions corrupt account balances and enable fraudulent fund manipulation. Self-approved loans with negative interest rates allow unlimited self-enrichment. Financial statement integrity is compromised. Constitutes a critical business logic failure with direct financial loss exposure. Violates PCI-DSS and AML controls.</t>
  </si>
  <si>
    <t>Add server-side validation enforcing: amount must be a positive number above a minimum threshold; interest_rate must be within approved ranges (server-defined, not client-supplied); loan status and approval flow must be set by the server only, never by client-supplied parameters. Add integration tests covering all boundary cases.</t>
  </si>
  <si>
    <t>Owner: Team G — Back-End Dev | Notes: PENTESTER CONFIRMED. Negative amount produced ₦-340,000 balance. Self-approved ₦500,000 loan with -10% interest (repay ₦450,000). L and I both upgraded to 5, score now 25. Cross-ref: BL-01.</t>
  </si>
  <si>
    <t>R-12</t>
  </si>
  <si>
    <t>Confirmed IDOR — Any User Can Access Any Other User's Financial and Personal Data</t>
  </si>
  <si>
    <t>Pentester confirmed IDOR on 6 separate endpoints: (1) GET /api/cards/{id} → another user's full card_number, CVV, and cardholder name; (2) GET /api/loans?user_id= → another user's loan records; (3) GET /api/cashout/history?user_id= → another user's voucher PINs; (4) GET /api/transactions?user_id= → full transaction history; (5) GET /api/statements/export?user_id= → full CSV statement; (6) GET /api/users/{id} → full profile including email, phone, balance, and KYC status. All returned HTTP 200 OK — no 403 was encountered on any endpoint. No server-side ownership validation exists.</t>
  </si>
  <si>
    <t>AC-02</t>
  </si>
  <si>
    <t>Complete unauthorised access to all user financial data, personal information, and card details across the platform. Combined with the no-HTTPS finding, card numbers and CVVs are also exposed in transit. Constitutes a mass data breach. ISO 27001 A.5.15; PCI-DSS 7.1; NDPR / GDPR equivalent data protection obligations.</t>
  </si>
  <si>
    <t>Enforce server-side ownership checks on every endpoint that returns user data: validate that the authenticated session's user_id matches the requested resource owner before returning data. Never trust client-supplied user_id or UUID parameters alone. Implement automated authorisation tests in CI/CD pipeline.</t>
  </si>
  <si>
    <t>Owner: Team G — Back-End Dev | Notes: PENTESTER CONFIRMED — MASS IDOR. 6 endpoints exposed — card numbers/CVVs, cashout PINs, transaction history, statements, profiles. All returned 200 OK. L and I upgraded to 5, score now 25. Immediate fix: server-side ownership validation on all user-data endpoints. Cross-ref: AC-02, ID-02.</t>
  </si>
  <si>
    <t>R-13</t>
  </si>
  <si>
    <t>Full Card Number and CVV Returned in Plaintext API Responses</t>
  </si>
  <si>
    <t>Pentester confirmed: POST /api/cards/create returns the full 16-digit card_number and full CVV in the response body. GET /api/cards/{id} returns the same data on every subsequent call — including for other users' cards via the IDOR in AC-02. All responses are transmitted over plain HTTP with no TLS. PCI-DSS mandates that PANs (Primary Account Numbers) must never be returned in full after issuance, and CVVs must never be stored or returned at all.</t>
  </si>
  <si>
    <t>CR-02</t>
  </si>
  <si>
    <t>Complete exposure of card PAN and CVV data — both for the account holder and for all other users via IDOR. Card fraud and cloning enabled. Direct and severe PCI-DSS violation (requirements 3.3, 3.4, 4.2). Regulatory penalties, card scheme fines, and potential licence revocation.</t>
  </si>
  <si>
    <t>Mask card numbers to last 4 digits in all API responses. Never return CVV in any response after card creation — store only a non-reversible hash if needed for internal checks. Enforce HTTPS before any card endpoint is exposed. Apply IDOR fix to prevent cross-account card access.</t>
  </si>
  <si>
    <t>Owner: Team G — Back-End Dev / Security | Notes: PENTESTER CONFIRMED. Full card_number and CVV returned on create (POST /api/cards/create) and GET /api/cards/{id}. Other users' cards also accessible via IDOR. Over plain HTTP. Critical PCI-DSS violation. Cross-ref: CR-02, AC-02.</t>
  </si>
  <si>
    <t>R-14</t>
  </si>
  <si>
    <t>FX Applied Rate Accepted from Client — Fraudulent Exchange Rate Manipulation</t>
  </si>
  <si>
    <t>Pentester confirmed: POST /api/corridors/send (NGN→KES cross-border transfer) accepts a client-supplied "applied_rate" field in the request body. Setting applied_rate:"50" caused the server to compute the receive_amount using the attacker-supplied rate (50×) rather than the system-quoted rate — producing a receive_amount of approximately ₦2,855,000 for a ₦60,000 send. The server did not validate the rate against the quote it had previously returned.</t>
  </si>
  <si>
    <t>BL-03</t>
  </si>
  <si>
    <t>Any authenticated user can manipulate FX exchange rates to receive far more than the market rate allows, enabling direct financial theft from the platform. Cross-border AML controls are bypassed. Constitutes a critical business logic failure with immediate financial loss potential.</t>
  </si>
  <si>
    <t>Never accept exchange rate or fee values from the client — compute all rates server-side at the time of the transaction and validate against the quote ID returned. Tie applied_rate to the quote_id from the /api/corridors/quote call, and reject any transaction where the rate deviates from the issued quote.</t>
  </si>
  <si>
    <t>Owner: Team G — Back-End Dev | Notes: PENTESTER CONFIRMED. applied_rate:"50" accepted — ₦60,000 send generated ₦2,855,000 receive. Rate must be computed and enforced server-side, not accepted from client. Cross-ref: BL-03.</t>
  </si>
  <si>
    <t>R-15</t>
  </si>
  <si>
    <t>Identity Data Exposed via IDOR — Profile, KYC Status, and Contact Details of All Users</t>
  </si>
  <si>
    <t>Pentester confirmed GET /api/users/{id} returns another user's full profile to any authenticated requester: full name, email address, phone number, country, balance, and KYC status. No ownership check is applied. KYC document numbers are also returned unmasked in the KYC submission response (doc_number:"12345678" returned in full). These are distinct from the financial IDOR findings in R-12 and represent a specific PII exposure risk.</t>
  </si>
  <si>
    <t>ID-02</t>
  </si>
  <si>
    <t>Unauthorised access to personal data (name, email, phone, KYC document numbers) for all 18+ platform users. Enables targeted phishing, identity theft, and secondary account takeover. Violates data protection obligations (NDPR, GDPR-equivalent). Fine and regulatory action exposure.</t>
  </si>
  <si>
    <t>Apply server-side ownership validation to /api/users/{id} — only allow a user to read their own profile. Mask KYC document numbers in all responses (show last 4 digits only). Conduct a full audit of all user-data endpoints for ownership enforcement.</t>
  </si>
  <si>
    <t>Owner: Team G — Back-End Dev | Notes: PENTESTER CONFIRMED. /api/users/{id} returns full PII of any user to any authenticated requester. KYC doc_number returned unmasked. L=5 (trivially exploitable given IDOR confirmed), I=4. Cross-ref: ID-02.</t>
  </si>
  <si>
    <t>R-16</t>
  </si>
  <si>
    <t>Admin Panel Exposes Full PII of All Registered Users — No Data Minimisation</t>
  </si>
  <si>
    <t>The admin panel displays an unmasked list of every registered user including full name, email address, phone number, account balance, and KYC verification status with no data minimisation or field masking. Any actor who gains admin access (achievable via mass assignment — see R-09) can harvest the complete personal and financial profile of the entire customer base. Admin panel access is not logged to an external system and no read-only audit role exists.</t>
  </si>
  <si>
    <t>GV-02</t>
  </si>
  <si>
    <t>Breach of NDPR (Nigeria Data Protection Regulation) and equivalent GDPR obligations. Exposure of PII at scale triggers mandatory breach-notification requirements and potential regulatory fines. Combined with R-09, any attacker can self-escalate to admin and immediately harvest the full customer database, creating fraud, identity theft, and AML-evasion risk at scale.</t>
  </si>
  <si>
    <t>Implement data minimisation in all admin views: mask email (first 2 chars + domain), truncate phone, hide balance unless specifically required. Enforce role-based data access with a read-only audit role separate from full admin. Log all admin panel queries to the external SIEM. Conduct a DPIA (Data Protection Impact Assessment) for admin data access.</t>
  </si>
  <si>
    <t>GRC Peer Audit — Team D | Control: GV-02 | Evidence: GV-02-01, GV-02-02</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</si>
</sst>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theme="1"/>
      <name val="Calibri"/>
    </font>
    <font>
      <b/>
      <sz val="10.0"/>
      <color rgb="FFFFFFFF"/>
      <name val="Arial"/>
    </font>
    <font>
      <b/>
      <sz val="16.0"/>
      <color rgb="FF0B1D3A"/>
      <name val="Arial"/>
    </font>
    <font>
      <b/>
      <sz val="14.0"/>
      <color rgb="FF0B1D3A"/>
      <name val="Arial"/>
    </font>
    <font>
      <sz val="10.0"/>
      <color rgb="FF888888"/>
      <name val="Arial"/>
    </font>
    <font>
      <sz val="10.0"/>
      <color rgb="FF1A1A2E"/>
      <name val="Arial"/>
    </font>
    <font>
      <b/>
      <sz val="11.0"/>
      <color rgb="FFFFFFFF"/>
      <name val="Arial"/>
    </font>
    <font>
      <b/>
      <sz val="12.0"/>
      <color rgb="FF3C3489"/>
      <name val="Arial"/>
    </font>
    <font>
      <sz val="11.0"/>
      <color rgb="FF1A1A2E"/>
      <name val="Arial"/>
    </font>
    <font>
      <b/>
      <sz val="11.0"/>
      <color rgb="FF1A1A2E"/>
      <name val="Arial"/>
    </font>
    <font>
      <b/>
      <color rgb="FFFFFFFF"/>
      <name val="Calibri"/>
    </font>
    <font>
      <sz val="9.0"/>
      <color theme="1"/>
      <name val="Calibri"/>
    </font>
    <font>
      <b/>
      <sz val="9.0"/>
      <color rgb="FFFFFFFF"/>
      <name val="Calibri"/>
    </font>
  </fonts>
  <fills count="10">
    <fill>
      <patternFill patternType="none"/>
    </fill>
    <fill>
      <patternFill patternType="lightGray"/>
    </fill>
    <fill>
      <patternFill patternType="solid">
        <fgColor rgb="FF0B1D3A"/>
        <bgColor rgb="FF0B1D3A"/>
      </patternFill>
    </fill>
    <fill>
      <patternFill patternType="solid">
        <fgColor rgb="FFF5F5F5"/>
        <bgColor rgb="FFF5F5F5"/>
      </patternFill>
    </fill>
    <fill>
      <patternFill patternType="solid">
        <fgColor rgb="FFFAECE7"/>
        <bgColor rgb="FFFAECE7"/>
      </patternFill>
    </fill>
    <fill>
      <patternFill patternType="solid">
        <fgColor rgb="FFC00000"/>
        <bgColor rgb="FFC00000"/>
      </patternFill>
    </fill>
    <fill>
      <patternFill patternType="solid">
        <fgColor rgb="FFFBE3D4"/>
        <bgColor rgb="FFFBE3D4"/>
      </patternFill>
    </fill>
    <fill>
      <patternFill patternType="solid">
        <fgColor rgb="FFFAEEDA"/>
        <bgColor rgb="FFFAEEDA"/>
      </patternFill>
    </fill>
    <fill>
      <patternFill patternType="solid">
        <fgColor rgb="FFEAF3DE"/>
        <bgColor rgb="FFEAF3DE"/>
      </patternFill>
    </fill>
    <fill>
      <patternFill patternType="solid">
        <fgColor rgb="FFFF4500"/>
        <bgColor rgb="FFFF4500"/>
      </patternFill>
    </fill>
  </fills>
  <borders count="3">
    <border/>
    <border>
      <left style="thin">
        <color rgb="FFD0D0D0"/>
      </left>
      <right style="thin">
        <color rgb="FFD0D0D0"/>
      </right>
      <top style="thin">
        <color rgb="FFD0D0D0"/>
      </top>
      <bottom style="thin">
        <color rgb="FFD0D0D0"/>
      </bottom>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0" fillId="0" fontId="4" numFmtId="0" xfId="0" applyFont="1"/>
    <xf borderId="0" fillId="0" fontId="5" numFmtId="0" xfId="0" applyFont="1"/>
    <xf borderId="1" fillId="3" fontId="6" numFmtId="0" xfId="0" applyAlignment="1" applyBorder="1" applyFill="1" applyFont="1">
      <alignment horizontal="center" vertical="center"/>
    </xf>
    <xf borderId="1" fillId="2" fontId="7" numFmtId="0" xfId="0" applyAlignment="1" applyBorder="1" applyFont="1">
      <alignment vertical="center"/>
    </xf>
    <xf borderId="1" fillId="3" fontId="6" numFmtId="0" xfId="0" applyAlignment="1" applyBorder="1" applyFont="1">
      <alignment shrinkToFit="0" vertical="top" wrapText="1"/>
    </xf>
    <xf borderId="1" fillId="3" fontId="6" numFmtId="0" xfId="0" applyAlignment="1" applyBorder="1" applyFont="1">
      <alignment horizontal="left" shrinkToFit="0" vertical="top" wrapText="1"/>
    </xf>
    <xf borderId="0" fillId="0" fontId="8" numFmtId="0" xfId="0" applyFont="1"/>
    <xf borderId="1" fillId="2" fontId="7" numFmtId="0" xfId="0" applyAlignment="1" applyBorder="1" applyFont="1">
      <alignment horizontal="center" vertical="center"/>
    </xf>
    <xf borderId="0" fillId="0" fontId="6" numFmtId="0" xfId="0" applyAlignment="1" applyFont="1">
      <alignment horizontal="left" shrinkToFit="0" vertical="top" wrapText="1"/>
    </xf>
    <xf borderId="1" fillId="4" fontId="9" numFmtId="0" xfId="0" applyAlignment="1" applyBorder="1" applyFill="1" applyFont="1">
      <alignment vertical="center"/>
    </xf>
    <xf borderId="1" fillId="4" fontId="10" numFmtId="0" xfId="0" applyAlignment="1" applyBorder="1" applyFont="1">
      <alignment horizontal="center" vertical="center"/>
    </xf>
    <xf borderId="1" fillId="5" fontId="11" numFmtId="0" xfId="0" applyAlignment="1" applyBorder="1" applyFill="1" applyFont="1">
      <alignment horizontal="center" vertical="center"/>
    </xf>
    <xf borderId="1" fillId="3" fontId="12" numFmtId="0" xfId="0" applyAlignment="1" applyBorder="1" applyFont="1">
      <alignment shrinkToFit="0" vertical="top" wrapText="1"/>
    </xf>
    <xf borderId="1" fillId="6" fontId="9" numFmtId="0" xfId="0" applyAlignment="1" applyBorder="1" applyFill="1" applyFont="1">
      <alignment vertical="center"/>
    </xf>
    <xf borderId="1" fillId="6" fontId="10" numFmtId="0" xfId="0" applyAlignment="1" applyBorder="1" applyFont="1">
      <alignment horizontal="center" vertical="center"/>
    </xf>
    <xf borderId="0" fillId="0" fontId="6" numFmtId="0" xfId="0" applyFont="1"/>
    <xf borderId="1" fillId="7" fontId="9" numFmtId="0" xfId="0" applyAlignment="1" applyBorder="1" applyFill="1" applyFont="1">
      <alignment vertical="center"/>
    </xf>
    <xf borderId="1" fillId="7" fontId="10" numFmtId="0" xfId="0" applyAlignment="1" applyBorder="1" applyFont="1">
      <alignment horizontal="center" vertical="center"/>
    </xf>
    <xf borderId="1" fillId="5" fontId="13" numFmtId="0" xfId="0" applyAlignment="1" applyBorder="1" applyFont="1">
      <alignment horizontal="center" vertical="center"/>
    </xf>
    <xf borderId="1" fillId="8" fontId="9" numFmtId="0" xfId="0" applyAlignment="1" applyBorder="1" applyFill="1" applyFont="1">
      <alignment vertical="center"/>
    </xf>
    <xf borderId="1" fillId="8" fontId="10" numFmtId="0" xfId="0" applyAlignment="1" applyBorder="1" applyFont="1">
      <alignment horizontal="center" vertical="center"/>
    </xf>
    <xf borderId="1" fillId="9" fontId="13" numFmtId="0" xfId="0" applyAlignment="1" applyBorder="1" applyFill="1" applyFont="1">
      <alignment horizontal="center" vertical="center"/>
    </xf>
    <xf borderId="2" fillId="8" fontId="6" numFmtId="0" xfId="0" applyBorder="1" applyFont="1"/>
    <xf borderId="2" fillId="7" fontId="6" numFmtId="0" xfId="0" applyBorder="1" applyFont="1"/>
    <xf borderId="2" fillId="6" fontId="6" numFmtId="0" xfId="0" applyBorder="1" applyFont="1"/>
    <xf borderId="2" fillId="4" fontId="6" numFmtId="0" xfId="0" applyBorder="1" applyFont="1"/>
    <xf borderId="1" fillId="0" fontId="6" numFmtId="0" xfId="0" applyAlignment="1" applyBorder="1" applyFont="1">
      <alignment horizontal="center" vertical="center"/>
    </xf>
    <xf borderId="1" fillId="0" fontId="6" numFmtId="0" xfId="0" applyAlignment="1" applyBorder="1" applyFont="1">
      <alignment horizontal="left" shrinkToFit="0" vertical="top" wrapText="1"/>
    </xf>
    <xf borderId="1" fillId="9" fontId="1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00.0"/>
    <col customWidth="1" min="3" max="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 t="s">
        <v>5</v>
      </c>
      <c r="C2" s="1"/>
      <c r="D2" s="1"/>
      <c r="E2" s="1"/>
      <c r="F2" s="1"/>
      <c r="G2" s="1"/>
      <c r="H2" s="1"/>
      <c r="I2" s="1"/>
      <c r="J2" s="1"/>
      <c r="K2" s="1"/>
      <c r="L2" s="1"/>
      <c r="M2" s="1"/>
      <c r="N2" s="1"/>
      <c r="O2" s="1"/>
      <c r="P2" s="1"/>
      <c r="Q2" s="1"/>
      <c r="R2" s="1"/>
      <c r="S2" s="1"/>
      <c r="T2" s="1"/>
      <c r="U2" s="1"/>
      <c r="V2" s="1"/>
      <c r="W2" s="1"/>
      <c r="X2" s="1"/>
      <c r="Y2" s="1"/>
      <c r="Z2" s="1"/>
    </row>
    <row r="3">
      <c r="A3" s="1"/>
      <c r="B3" s="5" t="s">
        <v>10</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0" t="s">
        <v>21</v>
      </c>
      <c r="C5" s="1"/>
      <c r="D5" s="1"/>
      <c r="E5" s="1"/>
      <c r="F5" s="1"/>
      <c r="G5" s="1"/>
      <c r="H5" s="1"/>
      <c r="I5" s="1"/>
      <c r="J5" s="1"/>
      <c r="K5" s="1"/>
      <c r="L5" s="1"/>
      <c r="M5" s="1"/>
      <c r="N5" s="1"/>
      <c r="O5" s="1"/>
      <c r="P5" s="1"/>
      <c r="Q5" s="1"/>
      <c r="R5" s="1"/>
      <c r="S5" s="1"/>
      <c r="T5" s="1"/>
      <c r="U5" s="1"/>
      <c r="V5" s="1"/>
      <c r="W5" s="1"/>
      <c r="X5" s="1"/>
      <c r="Y5" s="1"/>
      <c r="Z5" s="1"/>
    </row>
    <row r="6" ht="48.0" customHeight="1">
      <c r="A6" s="1"/>
      <c r="B6" s="12" t="s">
        <v>22</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0" t="s">
        <v>28</v>
      </c>
      <c r="C8" s="1"/>
      <c r="D8" s="1"/>
      <c r="E8" s="1"/>
      <c r="F8" s="1"/>
      <c r="G8" s="1"/>
      <c r="H8" s="1"/>
      <c r="I8" s="1"/>
      <c r="J8" s="1"/>
      <c r="K8" s="1"/>
      <c r="L8" s="1"/>
      <c r="M8" s="1"/>
      <c r="N8" s="1"/>
      <c r="O8" s="1"/>
      <c r="P8" s="1"/>
      <c r="Q8" s="1"/>
      <c r="R8" s="1"/>
      <c r="S8" s="1"/>
      <c r="T8" s="1"/>
      <c r="U8" s="1"/>
      <c r="V8" s="1"/>
      <c r="W8" s="1"/>
      <c r="X8" s="1"/>
      <c r="Y8" s="1"/>
      <c r="Z8" s="1"/>
    </row>
    <row r="9">
      <c r="A9" s="1"/>
      <c r="B9" s="19" t="s">
        <v>33</v>
      </c>
      <c r="C9" s="1"/>
      <c r="D9" s="1"/>
      <c r="E9" s="1"/>
      <c r="F9" s="1"/>
      <c r="G9" s="1"/>
      <c r="H9" s="1"/>
      <c r="I9" s="1"/>
      <c r="J9" s="1"/>
      <c r="K9" s="1"/>
      <c r="L9" s="1"/>
      <c r="M9" s="1"/>
      <c r="N9" s="1"/>
      <c r="O9" s="1"/>
      <c r="P9" s="1"/>
      <c r="Q9" s="1"/>
      <c r="R9" s="1"/>
      <c r="S9" s="1"/>
      <c r="T9" s="1"/>
      <c r="U9" s="1"/>
      <c r="V9" s="1"/>
      <c r="W9" s="1"/>
      <c r="X9" s="1"/>
      <c r="Y9" s="1"/>
      <c r="Z9" s="1"/>
    </row>
    <row r="10">
      <c r="A10" s="1"/>
      <c r="B10" s="19" t="s">
        <v>37</v>
      </c>
      <c r="C10" s="1"/>
      <c r="D10" s="1"/>
      <c r="E10" s="1"/>
      <c r="F10" s="1"/>
      <c r="G10" s="1"/>
      <c r="H10" s="1"/>
      <c r="I10" s="1"/>
      <c r="J10" s="1"/>
      <c r="K10" s="1"/>
      <c r="L10" s="1"/>
      <c r="M10" s="1"/>
      <c r="N10" s="1"/>
      <c r="O10" s="1"/>
      <c r="P10" s="1"/>
      <c r="Q10" s="1"/>
      <c r="R10" s="1"/>
      <c r="S10" s="1"/>
      <c r="T10" s="1"/>
      <c r="U10" s="1"/>
      <c r="V10" s="1"/>
      <c r="W10" s="1"/>
      <c r="X10" s="1"/>
      <c r="Y10" s="1"/>
      <c r="Z10" s="1"/>
    </row>
    <row r="11">
      <c r="A11" s="1"/>
      <c r="B11" s="19" t="s">
        <v>40</v>
      </c>
      <c r="C11" s="1"/>
      <c r="D11" s="1"/>
      <c r="E11" s="1"/>
      <c r="F11" s="1"/>
      <c r="G11" s="1"/>
      <c r="H11" s="1"/>
      <c r="I11" s="1"/>
      <c r="J11" s="1"/>
      <c r="K11" s="1"/>
      <c r="L11" s="1"/>
      <c r="M11" s="1"/>
      <c r="N11" s="1"/>
      <c r="O11" s="1"/>
      <c r="P11" s="1"/>
      <c r="Q11" s="1"/>
      <c r="R11" s="1"/>
      <c r="S11" s="1"/>
      <c r="T11" s="1"/>
      <c r="U11" s="1"/>
      <c r="V11" s="1"/>
      <c r="W11" s="1"/>
      <c r="X11" s="1"/>
      <c r="Y11" s="1"/>
      <c r="Z11" s="1"/>
    </row>
    <row r="12" ht="30.0" customHeight="1">
      <c r="A12" s="1"/>
      <c r="B12" s="12" t="s">
        <v>45</v>
      </c>
      <c r="C12" s="1"/>
      <c r="D12" s="1"/>
      <c r="E12" s="1"/>
      <c r="F12" s="1"/>
      <c r="G12" s="1"/>
      <c r="H12" s="1"/>
      <c r="I12" s="1"/>
      <c r="J12" s="1"/>
      <c r="K12" s="1"/>
      <c r="L12" s="1"/>
      <c r="M12" s="1"/>
      <c r="N12" s="1"/>
      <c r="O12" s="1"/>
      <c r="P12" s="1"/>
      <c r="Q12" s="1"/>
      <c r="R12" s="1"/>
      <c r="S12" s="1"/>
      <c r="T12" s="1"/>
      <c r="U12" s="1"/>
      <c r="V12" s="1"/>
      <c r="W12" s="1"/>
      <c r="X12" s="1"/>
      <c r="Y12" s="1"/>
      <c r="Z12" s="1"/>
    </row>
    <row r="13">
      <c r="A13" s="1"/>
      <c r="B13" s="19" t="s">
        <v>48</v>
      </c>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0" t="s">
        <v>54</v>
      </c>
      <c r="C15" s="1"/>
      <c r="D15" s="1"/>
      <c r="E15" s="1"/>
      <c r="F15" s="1"/>
      <c r="G15" s="1"/>
      <c r="H15" s="1"/>
      <c r="I15" s="1"/>
      <c r="J15" s="1"/>
      <c r="K15" s="1"/>
      <c r="L15" s="1"/>
      <c r="M15" s="1"/>
      <c r="N15" s="1"/>
      <c r="O15" s="1"/>
      <c r="P15" s="1"/>
      <c r="Q15" s="1"/>
      <c r="R15" s="1"/>
      <c r="S15" s="1"/>
      <c r="T15" s="1"/>
      <c r="U15" s="1"/>
      <c r="V15" s="1"/>
      <c r="W15" s="1"/>
      <c r="X15" s="1"/>
      <c r="Y15" s="1"/>
      <c r="Z15" s="1"/>
    </row>
    <row r="16">
      <c r="A16" s="1"/>
      <c r="B16" s="19" t="s">
        <v>57</v>
      </c>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0" t="s">
        <v>63</v>
      </c>
      <c r="C18" s="1"/>
      <c r="D18" s="1"/>
      <c r="E18" s="1"/>
      <c r="F18" s="1"/>
      <c r="G18" s="1"/>
      <c r="H18" s="1"/>
      <c r="I18" s="1"/>
      <c r="J18" s="1"/>
      <c r="K18" s="1"/>
      <c r="L18" s="1"/>
      <c r="M18" s="1"/>
      <c r="N18" s="1"/>
      <c r="O18" s="1"/>
      <c r="P18" s="1"/>
      <c r="Q18" s="1"/>
      <c r="R18" s="1"/>
      <c r="S18" s="1"/>
      <c r="T18" s="1"/>
      <c r="U18" s="1"/>
      <c r="V18" s="1"/>
      <c r="W18" s="1"/>
      <c r="X18" s="1"/>
      <c r="Y18" s="1"/>
      <c r="Z18" s="1"/>
    </row>
    <row r="19">
      <c r="A19" s="1"/>
      <c r="B19" s="26" t="s">
        <v>66</v>
      </c>
      <c r="C19" s="1"/>
      <c r="D19" s="1"/>
      <c r="E19" s="1"/>
      <c r="F19" s="1"/>
      <c r="G19" s="1"/>
      <c r="H19" s="1"/>
      <c r="I19" s="1"/>
      <c r="J19" s="1"/>
      <c r="K19" s="1"/>
      <c r="L19" s="1"/>
      <c r="M19" s="1"/>
      <c r="N19" s="1"/>
      <c r="O19" s="1"/>
      <c r="P19" s="1"/>
      <c r="Q19" s="1"/>
      <c r="R19" s="1"/>
      <c r="S19" s="1"/>
      <c r="T19" s="1"/>
      <c r="U19" s="1"/>
      <c r="V19" s="1"/>
      <c r="W19" s="1"/>
      <c r="X19" s="1"/>
      <c r="Y19" s="1"/>
      <c r="Z19" s="1"/>
    </row>
    <row r="20">
      <c r="A20" s="1"/>
      <c r="B20" s="27" t="s">
        <v>72</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28" t="s">
        <v>75</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29" t="s">
        <v>78</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35.0"/>
    <col customWidth="1" min="3" max="3" width="45.0"/>
    <col customWidth="1" min="4" max="4" width="15.0"/>
    <col customWidth="1" min="5" max="5" width="13.0"/>
    <col customWidth="1" min="6" max="6" width="12.0"/>
    <col customWidth="1" min="7" max="7" width="11.0"/>
    <col customWidth="1" min="8" max="8" width="13.0"/>
    <col customWidth="1" min="9" max="10" width="45.0"/>
    <col customWidth="1" min="11" max="11" width="12.0"/>
    <col customWidth="1" min="12" max="12" width="20.0"/>
  </cols>
  <sheetData>
    <row r="1" ht="39.75" customHeight="1">
      <c r="A1" s="2" t="s">
        <v>0</v>
      </c>
      <c r="B1" s="2" t="s">
        <v>1</v>
      </c>
      <c r="C1" s="2" t="s">
        <v>2</v>
      </c>
      <c r="D1" s="2" t="s">
        <v>3</v>
      </c>
      <c r="E1" s="2" t="s">
        <v>4</v>
      </c>
      <c r="F1" s="2" t="s">
        <v>7</v>
      </c>
      <c r="G1" s="2" t="s">
        <v>8</v>
      </c>
      <c r="H1" s="2" t="s">
        <v>9</v>
      </c>
      <c r="I1" s="2" t="s">
        <v>12</v>
      </c>
      <c r="J1" s="2" t="s">
        <v>13</v>
      </c>
      <c r="K1" s="2" t="s">
        <v>14</v>
      </c>
      <c r="L1" s="2" t="s">
        <v>15</v>
      </c>
      <c r="M1" s="1"/>
      <c r="N1" s="1"/>
      <c r="O1" s="1"/>
      <c r="P1" s="1"/>
      <c r="Q1" s="1"/>
      <c r="R1" s="1"/>
      <c r="S1" s="1"/>
      <c r="T1" s="1"/>
      <c r="U1" s="1"/>
      <c r="V1" s="1"/>
      <c r="W1" s="1"/>
      <c r="X1" s="1"/>
      <c r="Y1" s="1"/>
      <c r="Z1" s="1"/>
    </row>
    <row r="2" ht="57.75" customHeight="1">
      <c r="A2" s="6" t="s">
        <v>16</v>
      </c>
      <c r="B2" s="8" t="s">
        <v>18</v>
      </c>
      <c r="C2" s="8" t="s">
        <v>19</v>
      </c>
      <c r="D2" s="9" t="s">
        <v>20</v>
      </c>
      <c r="E2" s="6">
        <v>5.0</v>
      </c>
      <c r="F2" s="6">
        <v>4.0</v>
      </c>
      <c r="G2" s="6">
        <f t="shared" ref="G2:G31" si="1">IF(OR(E2="",F2=""),"",E2*F2)</f>
        <v>20</v>
      </c>
      <c r="H2" s="6" t="str">
        <f t="shared" ref="H2:H31" si="2">IF(G2="","",IF(G2&gt;=15,"Critical",IF(G2&gt;=10,"High",IF(G2&gt;=5,"Medium","Low"))))</f>
        <v>Critical</v>
      </c>
      <c r="I2" s="8" t="s">
        <v>24</v>
      </c>
      <c r="J2" s="8" t="s">
        <v>25</v>
      </c>
      <c r="K2" s="15" t="s">
        <v>23</v>
      </c>
      <c r="L2" s="16" t="s">
        <v>26</v>
      </c>
      <c r="M2" s="1"/>
      <c r="N2" s="1"/>
      <c r="O2" s="1"/>
      <c r="P2" s="1"/>
      <c r="Q2" s="1"/>
      <c r="R2" s="1"/>
      <c r="S2" s="1"/>
      <c r="T2" s="1"/>
      <c r="U2" s="1"/>
      <c r="V2" s="1"/>
      <c r="W2" s="1"/>
      <c r="X2" s="1"/>
      <c r="Y2" s="1"/>
      <c r="Z2" s="1"/>
    </row>
    <row r="3" ht="57.75" customHeight="1">
      <c r="A3" s="6" t="s">
        <v>29</v>
      </c>
      <c r="B3" s="8" t="s">
        <v>30</v>
      </c>
      <c r="C3" s="8" t="s">
        <v>31</v>
      </c>
      <c r="D3" s="9" t="s">
        <v>32</v>
      </c>
      <c r="E3" s="6">
        <v>5.0</v>
      </c>
      <c r="F3" s="6">
        <v>5.0</v>
      </c>
      <c r="G3" s="6">
        <f t="shared" si="1"/>
        <v>25</v>
      </c>
      <c r="H3" s="6" t="str">
        <f t="shared" si="2"/>
        <v>Critical</v>
      </c>
      <c r="I3" s="8" t="s">
        <v>35</v>
      </c>
      <c r="J3" s="8" t="s">
        <v>36</v>
      </c>
      <c r="K3" s="22" t="s">
        <v>23</v>
      </c>
      <c r="L3" s="16" t="s">
        <v>38</v>
      </c>
      <c r="M3" s="1"/>
      <c r="N3" s="1"/>
      <c r="O3" s="1"/>
      <c r="P3" s="1"/>
      <c r="Q3" s="1"/>
      <c r="R3" s="1"/>
      <c r="S3" s="1"/>
      <c r="T3" s="1"/>
      <c r="U3" s="1"/>
      <c r="V3" s="1"/>
      <c r="W3" s="1"/>
      <c r="X3" s="1"/>
      <c r="Y3" s="1"/>
      <c r="Z3" s="1"/>
    </row>
    <row r="4" ht="33.75" customHeight="1">
      <c r="A4" s="6" t="s">
        <v>41</v>
      </c>
      <c r="B4" s="8" t="s">
        <v>42</v>
      </c>
      <c r="C4" s="8" t="s">
        <v>43</v>
      </c>
      <c r="D4" s="9" t="s">
        <v>44</v>
      </c>
      <c r="E4" s="6">
        <v>3.0</v>
      </c>
      <c r="F4" s="6">
        <v>4.0</v>
      </c>
      <c r="G4" s="6">
        <f t="shared" si="1"/>
        <v>12</v>
      </c>
      <c r="H4" s="6" t="str">
        <f t="shared" si="2"/>
        <v>High</v>
      </c>
      <c r="I4" s="8" t="s">
        <v>46</v>
      </c>
      <c r="J4" s="8" t="s">
        <v>47</v>
      </c>
      <c r="K4" s="25" t="s">
        <v>27</v>
      </c>
      <c r="L4" s="16" t="s">
        <v>49</v>
      </c>
      <c r="M4" s="1"/>
      <c r="N4" s="1"/>
      <c r="O4" s="1"/>
      <c r="P4" s="1"/>
      <c r="Q4" s="1"/>
      <c r="R4" s="1"/>
      <c r="S4" s="1"/>
      <c r="T4" s="1"/>
      <c r="U4" s="1"/>
      <c r="V4" s="1"/>
      <c r="W4" s="1"/>
      <c r="X4" s="1"/>
      <c r="Y4" s="1"/>
      <c r="Z4" s="1"/>
    </row>
    <row r="5" ht="33.75" customHeight="1">
      <c r="A5" s="6" t="s">
        <v>50</v>
      </c>
      <c r="B5" s="8" t="s">
        <v>51</v>
      </c>
      <c r="C5" s="8" t="s">
        <v>52</v>
      </c>
      <c r="D5" s="9" t="s">
        <v>53</v>
      </c>
      <c r="E5" s="6">
        <v>4.0</v>
      </c>
      <c r="F5" s="6">
        <v>5.0</v>
      </c>
      <c r="G5" s="6">
        <f t="shared" si="1"/>
        <v>20</v>
      </c>
      <c r="H5" s="6" t="str">
        <f t="shared" si="2"/>
        <v>Critical</v>
      </c>
      <c r="I5" s="8" t="s">
        <v>55</v>
      </c>
      <c r="J5" s="8" t="s">
        <v>56</v>
      </c>
      <c r="K5" s="15" t="s">
        <v>23</v>
      </c>
      <c r="L5" s="16" t="s">
        <v>58</v>
      </c>
      <c r="M5" s="1"/>
      <c r="N5" s="1"/>
      <c r="O5" s="1"/>
      <c r="P5" s="1"/>
      <c r="Q5" s="1"/>
      <c r="R5" s="1"/>
      <c r="S5" s="1"/>
      <c r="T5" s="1"/>
      <c r="U5" s="1"/>
      <c r="V5" s="1"/>
      <c r="W5" s="1"/>
      <c r="X5" s="1"/>
      <c r="Y5" s="1"/>
      <c r="Z5" s="1"/>
    </row>
    <row r="6" ht="33.75" customHeight="1">
      <c r="A6" s="6" t="s">
        <v>59</v>
      </c>
      <c r="B6" s="8" t="s">
        <v>60</v>
      </c>
      <c r="C6" s="8" t="s">
        <v>61</v>
      </c>
      <c r="D6" s="9" t="s">
        <v>62</v>
      </c>
      <c r="E6" s="6">
        <v>5.0</v>
      </c>
      <c r="F6" s="6">
        <v>4.0</v>
      </c>
      <c r="G6" s="6">
        <f t="shared" si="1"/>
        <v>20</v>
      </c>
      <c r="H6" s="6" t="str">
        <f t="shared" si="2"/>
        <v>Critical</v>
      </c>
      <c r="I6" s="8" t="s">
        <v>64</v>
      </c>
      <c r="J6" s="8" t="s">
        <v>65</v>
      </c>
      <c r="K6" s="15" t="s">
        <v>23</v>
      </c>
      <c r="L6" s="16" t="s">
        <v>67</v>
      </c>
      <c r="M6" s="1"/>
      <c r="N6" s="1"/>
      <c r="O6" s="1"/>
      <c r="P6" s="1"/>
      <c r="Q6" s="1"/>
      <c r="R6" s="1"/>
      <c r="S6" s="1"/>
      <c r="T6" s="1"/>
      <c r="U6" s="1"/>
      <c r="V6" s="1"/>
      <c r="W6" s="1"/>
      <c r="X6" s="1"/>
      <c r="Y6" s="1"/>
      <c r="Z6" s="1"/>
    </row>
    <row r="7" ht="33.75" customHeight="1">
      <c r="A7" s="6" t="s">
        <v>68</v>
      </c>
      <c r="B7" s="8" t="s">
        <v>69</v>
      </c>
      <c r="C7" s="8" t="s">
        <v>70</v>
      </c>
      <c r="D7" s="9" t="s">
        <v>71</v>
      </c>
      <c r="E7" s="6">
        <v>3.0</v>
      </c>
      <c r="F7" s="6">
        <v>4.0</v>
      </c>
      <c r="G7" s="6">
        <f t="shared" si="1"/>
        <v>12</v>
      </c>
      <c r="H7" s="6" t="str">
        <f t="shared" si="2"/>
        <v>High</v>
      </c>
      <c r="I7" s="8" t="s">
        <v>73</v>
      </c>
      <c r="J7" s="8" t="s">
        <v>74</v>
      </c>
      <c r="K7" s="25" t="s">
        <v>27</v>
      </c>
      <c r="L7" s="16" t="s">
        <v>76</v>
      </c>
      <c r="M7" s="1"/>
      <c r="N7" s="1"/>
      <c r="O7" s="1"/>
      <c r="P7" s="1"/>
      <c r="Q7" s="1"/>
      <c r="R7" s="1"/>
      <c r="S7" s="1"/>
      <c r="T7" s="1"/>
      <c r="U7" s="1"/>
      <c r="V7" s="1"/>
      <c r="W7" s="1"/>
      <c r="X7" s="1"/>
      <c r="Y7" s="1"/>
      <c r="Z7" s="1"/>
    </row>
    <row r="8" ht="33.75" customHeight="1">
      <c r="A8" s="6" t="s">
        <v>77</v>
      </c>
      <c r="B8" s="8" t="s">
        <v>79</v>
      </c>
      <c r="C8" s="8" t="s">
        <v>80</v>
      </c>
      <c r="D8" s="9" t="s">
        <v>81</v>
      </c>
      <c r="E8" s="6">
        <v>4.0</v>
      </c>
      <c r="F8" s="6">
        <v>3.0</v>
      </c>
      <c r="G8" s="6">
        <f t="shared" si="1"/>
        <v>12</v>
      </c>
      <c r="H8" s="6" t="str">
        <f t="shared" si="2"/>
        <v>High</v>
      </c>
      <c r="I8" s="8" t="s">
        <v>82</v>
      </c>
      <c r="J8" s="8" t="s">
        <v>83</v>
      </c>
      <c r="K8" s="25" t="s">
        <v>27</v>
      </c>
      <c r="L8" s="16" t="s">
        <v>84</v>
      </c>
      <c r="M8" s="1"/>
      <c r="N8" s="1"/>
      <c r="O8" s="1"/>
      <c r="P8" s="1"/>
      <c r="Q8" s="1"/>
      <c r="R8" s="1"/>
      <c r="S8" s="1"/>
      <c r="T8" s="1"/>
      <c r="U8" s="1"/>
      <c r="V8" s="1"/>
      <c r="W8" s="1"/>
      <c r="X8" s="1"/>
      <c r="Y8" s="1"/>
      <c r="Z8" s="1"/>
    </row>
    <row r="9" ht="33.75" customHeight="1">
      <c r="A9" s="6" t="s">
        <v>85</v>
      </c>
      <c r="B9" s="8" t="s">
        <v>86</v>
      </c>
      <c r="C9" s="8" t="s">
        <v>87</v>
      </c>
      <c r="D9" s="9" t="s">
        <v>88</v>
      </c>
      <c r="E9" s="6">
        <v>5.0</v>
      </c>
      <c r="F9" s="6">
        <v>5.0</v>
      </c>
      <c r="G9" s="6">
        <f t="shared" si="1"/>
        <v>25</v>
      </c>
      <c r="H9" s="6" t="str">
        <f t="shared" si="2"/>
        <v>Critical</v>
      </c>
      <c r="I9" s="8" t="s">
        <v>89</v>
      </c>
      <c r="J9" s="8" t="s">
        <v>90</v>
      </c>
      <c r="K9" s="15" t="s">
        <v>23</v>
      </c>
      <c r="L9" s="16" t="s">
        <v>91</v>
      </c>
      <c r="M9" s="1"/>
      <c r="N9" s="1"/>
      <c r="O9" s="1"/>
      <c r="P9" s="1"/>
      <c r="Q9" s="1"/>
      <c r="R9" s="1"/>
      <c r="S9" s="1"/>
      <c r="T9" s="1"/>
      <c r="U9" s="1"/>
      <c r="V9" s="1"/>
      <c r="W9" s="1"/>
      <c r="X9" s="1"/>
      <c r="Y9" s="1"/>
      <c r="Z9" s="1"/>
    </row>
    <row r="10" ht="33.75" customHeight="1">
      <c r="A10" s="6" t="s">
        <v>92</v>
      </c>
      <c r="B10" s="16" t="s">
        <v>93</v>
      </c>
      <c r="C10" s="16" t="s">
        <v>94</v>
      </c>
      <c r="D10" s="9" t="s">
        <v>95</v>
      </c>
      <c r="E10" s="6">
        <v>4.0</v>
      </c>
      <c r="F10" s="6">
        <v>4.0</v>
      </c>
      <c r="G10" s="6">
        <f t="shared" si="1"/>
        <v>16</v>
      </c>
      <c r="H10" s="6" t="str">
        <f t="shared" si="2"/>
        <v>Critical</v>
      </c>
      <c r="I10" s="16" t="s">
        <v>96</v>
      </c>
      <c r="J10" s="16" t="s">
        <v>97</v>
      </c>
      <c r="K10" s="15" t="s">
        <v>23</v>
      </c>
      <c r="L10" s="16" t="s">
        <v>98</v>
      </c>
      <c r="M10" s="1"/>
      <c r="N10" s="1"/>
      <c r="O10" s="1"/>
      <c r="P10" s="1"/>
      <c r="Q10" s="1"/>
      <c r="R10" s="1"/>
      <c r="S10" s="1"/>
      <c r="T10" s="1"/>
      <c r="U10" s="1"/>
      <c r="V10" s="1"/>
      <c r="W10" s="1"/>
      <c r="X10" s="1"/>
      <c r="Y10" s="1"/>
      <c r="Z10" s="1"/>
    </row>
    <row r="11" ht="33.75" customHeight="1">
      <c r="A11" s="6" t="s">
        <v>99</v>
      </c>
      <c r="B11" s="8" t="s">
        <v>100</v>
      </c>
      <c r="C11" s="8" t="s">
        <v>101</v>
      </c>
      <c r="D11" s="9" t="s">
        <v>102</v>
      </c>
      <c r="E11" s="6">
        <v>5.0</v>
      </c>
      <c r="F11" s="6">
        <v>5.0</v>
      </c>
      <c r="G11" s="6">
        <f t="shared" si="1"/>
        <v>25</v>
      </c>
      <c r="H11" s="6" t="str">
        <f t="shared" si="2"/>
        <v>Critical</v>
      </c>
      <c r="I11" s="8" t="s">
        <v>103</v>
      </c>
      <c r="J11" s="8" t="s">
        <v>104</v>
      </c>
      <c r="K11" s="15" t="s">
        <v>23</v>
      </c>
      <c r="L11" s="16" t="s">
        <v>105</v>
      </c>
      <c r="M11" s="1"/>
      <c r="N11" s="1"/>
      <c r="O11" s="1"/>
      <c r="P11" s="1"/>
      <c r="Q11" s="1"/>
      <c r="R11" s="1"/>
      <c r="S11" s="1"/>
      <c r="T11" s="1"/>
      <c r="U11" s="1"/>
      <c r="V11" s="1"/>
      <c r="W11" s="1"/>
      <c r="X11" s="1"/>
      <c r="Y11" s="1"/>
      <c r="Z11" s="1"/>
    </row>
    <row r="12" ht="33.75" customHeight="1">
      <c r="A12" s="6" t="s">
        <v>106</v>
      </c>
      <c r="B12" s="8" t="s">
        <v>107</v>
      </c>
      <c r="C12" s="8" t="s">
        <v>108</v>
      </c>
      <c r="D12" s="9" t="s">
        <v>109</v>
      </c>
      <c r="E12" s="6">
        <v>5.0</v>
      </c>
      <c r="F12" s="6">
        <v>5.0</v>
      </c>
      <c r="G12" s="6">
        <f t="shared" si="1"/>
        <v>25</v>
      </c>
      <c r="H12" s="6" t="str">
        <f t="shared" si="2"/>
        <v>Critical</v>
      </c>
      <c r="I12" s="8" t="s">
        <v>110</v>
      </c>
      <c r="J12" s="8" t="s">
        <v>111</v>
      </c>
      <c r="K12" s="15" t="s">
        <v>23</v>
      </c>
      <c r="L12" s="16" t="s">
        <v>112</v>
      </c>
      <c r="M12" s="1"/>
      <c r="N12" s="1"/>
      <c r="O12" s="1"/>
      <c r="P12" s="1"/>
      <c r="Q12" s="1"/>
      <c r="R12" s="1"/>
      <c r="S12" s="1"/>
      <c r="T12" s="1"/>
      <c r="U12" s="1"/>
      <c r="V12" s="1"/>
      <c r="W12" s="1"/>
      <c r="X12" s="1"/>
      <c r="Y12" s="1"/>
      <c r="Z12" s="1"/>
    </row>
    <row r="13" ht="33.75" customHeight="1">
      <c r="A13" s="6" t="s">
        <v>113</v>
      </c>
      <c r="B13" s="16" t="s">
        <v>114</v>
      </c>
      <c r="C13" s="16" t="s">
        <v>115</v>
      </c>
      <c r="D13" s="9" t="s">
        <v>116</v>
      </c>
      <c r="E13" s="6">
        <v>5.0</v>
      </c>
      <c r="F13" s="6">
        <v>5.0</v>
      </c>
      <c r="G13" s="6">
        <f t="shared" si="1"/>
        <v>25</v>
      </c>
      <c r="H13" s="6" t="str">
        <f t="shared" si="2"/>
        <v>Critical</v>
      </c>
      <c r="I13" s="16" t="s">
        <v>117</v>
      </c>
      <c r="J13" s="16" t="s">
        <v>118</v>
      </c>
      <c r="K13" s="15" t="s">
        <v>23</v>
      </c>
      <c r="L13" s="16" t="s">
        <v>119</v>
      </c>
      <c r="M13" s="1"/>
      <c r="N13" s="1"/>
      <c r="O13" s="1"/>
      <c r="P13" s="1"/>
      <c r="Q13" s="1"/>
      <c r="R13" s="1"/>
      <c r="S13" s="1"/>
      <c r="T13" s="1"/>
      <c r="U13" s="1"/>
      <c r="V13" s="1"/>
      <c r="W13" s="1"/>
      <c r="X13" s="1"/>
      <c r="Y13" s="1"/>
      <c r="Z13" s="1"/>
    </row>
    <row r="14" ht="33.75" customHeight="1">
      <c r="A14" s="30" t="s">
        <v>120</v>
      </c>
      <c r="B14" s="31" t="s">
        <v>121</v>
      </c>
      <c r="C14" s="31" t="s">
        <v>122</v>
      </c>
      <c r="D14" s="31" t="s">
        <v>123</v>
      </c>
      <c r="E14" s="30">
        <v>5.0</v>
      </c>
      <c r="F14" s="30">
        <v>5.0</v>
      </c>
      <c r="G14" s="30">
        <f t="shared" si="1"/>
        <v>25</v>
      </c>
      <c r="H14" s="30" t="str">
        <f t="shared" si="2"/>
        <v>Critical</v>
      </c>
      <c r="I14" s="31" t="s">
        <v>124</v>
      </c>
      <c r="J14" s="31" t="s">
        <v>125</v>
      </c>
      <c r="K14" s="15" t="s">
        <v>23</v>
      </c>
      <c r="L14" s="31" t="s">
        <v>126</v>
      </c>
      <c r="M14" s="1"/>
      <c r="N14" s="1"/>
      <c r="O14" s="1"/>
      <c r="P14" s="1"/>
      <c r="Q14" s="1"/>
      <c r="R14" s="1"/>
      <c r="S14" s="1"/>
      <c r="T14" s="1"/>
      <c r="U14" s="1"/>
      <c r="V14" s="1"/>
      <c r="W14" s="1"/>
      <c r="X14" s="1"/>
      <c r="Y14" s="1"/>
      <c r="Z14" s="1"/>
    </row>
    <row r="15" ht="33.75" customHeight="1">
      <c r="A15" s="30" t="s">
        <v>127</v>
      </c>
      <c r="B15" s="31" t="s">
        <v>128</v>
      </c>
      <c r="C15" s="31" t="s">
        <v>129</v>
      </c>
      <c r="D15" s="31" t="s">
        <v>130</v>
      </c>
      <c r="E15" s="30">
        <v>4.0</v>
      </c>
      <c r="F15" s="30">
        <v>5.0</v>
      </c>
      <c r="G15" s="30">
        <f t="shared" si="1"/>
        <v>20</v>
      </c>
      <c r="H15" s="30" t="str">
        <f t="shared" si="2"/>
        <v>Critical</v>
      </c>
      <c r="I15" s="31" t="s">
        <v>131</v>
      </c>
      <c r="J15" s="31" t="s">
        <v>132</v>
      </c>
      <c r="K15" s="15" t="s">
        <v>23</v>
      </c>
      <c r="L15" s="31" t="s">
        <v>133</v>
      </c>
      <c r="M15" s="1"/>
      <c r="N15" s="1"/>
      <c r="O15" s="1"/>
      <c r="P15" s="1"/>
      <c r="Q15" s="1"/>
      <c r="R15" s="1"/>
      <c r="S15" s="1"/>
      <c r="T15" s="1"/>
      <c r="U15" s="1"/>
      <c r="V15" s="1"/>
      <c r="W15" s="1"/>
      <c r="X15" s="1"/>
      <c r="Y15" s="1"/>
      <c r="Z15" s="1"/>
    </row>
    <row r="16" ht="33.75" customHeight="1">
      <c r="A16" s="30" t="s">
        <v>134</v>
      </c>
      <c r="B16" s="31" t="s">
        <v>135</v>
      </c>
      <c r="C16" s="31" t="s">
        <v>136</v>
      </c>
      <c r="D16" s="31" t="s">
        <v>137</v>
      </c>
      <c r="E16" s="30">
        <v>5.0</v>
      </c>
      <c r="F16" s="30">
        <v>4.0</v>
      </c>
      <c r="G16" s="30">
        <f t="shared" si="1"/>
        <v>20</v>
      </c>
      <c r="H16" s="30" t="str">
        <f t="shared" si="2"/>
        <v>Critical</v>
      </c>
      <c r="I16" s="31" t="s">
        <v>138</v>
      </c>
      <c r="J16" s="31" t="s">
        <v>139</v>
      </c>
      <c r="K16" s="32" t="s">
        <v>27</v>
      </c>
      <c r="L16" s="31" t="s">
        <v>140</v>
      </c>
      <c r="M16" s="1"/>
      <c r="N16" s="1"/>
      <c r="O16" s="1"/>
      <c r="P16" s="1"/>
      <c r="Q16" s="1"/>
      <c r="R16" s="1"/>
      <c r="S16" s="1"/>
      <c r="T16" s="1"/>
      <c r="U16" s="1"/>
      <c r="V16" s="1"/>
      <c r="W16" s="1"/>
      <c r="X16" s="1"/>
      <c r="Y16" s="1"/>
      <c r="Z16" s="1"/>
    </row>
    <row r="17" ht="33.75" customHeight="1">
      <c r="A17" s="30" t="s">
        <v>141</v>
      </c>
      <c r="B17" s="31" t="s">
        <v>142</v>
      </c>
      <c r="C17" s="31" t="s">
        <v>143</v>
      </c>
      <c r="D17" s="31" t="s">
        <v>144</v>
      </c>
      <c r="E17" s="30">
        <v>4.0</v>
      </c>
      <c r="F17" s="30">
        <v>4.0</v>
      </c>
      <c r="G17" s="30">
        <f t="shared" si="1"/>
        <v>16</v>
      </c>
      <c r="H17" s="30" t="str">
        <f t="shared" si="2"/>
        <v>Critical</v>
      </c>
      <c r="I17" s="31" t="s">
        <v>145</v>
      </c>
      <c r="J17" s="31" t="s">
        <v>146</v>
      </c>
      <c r="K17" s="32" t="s">
        <v>27</v>
      </c>
      <c r="L17" s="31" t="s">
        <v>147</v>
      </c>
      <c r="M17" s="1"/>
      <c r="N17" s="1"/>
      <c r="O17" s="1"/>
      <c r="P17" s="1"/>
      <c r="Q17" s="1"/>
      <c r="R17" s="1"/>
      <c r="S17" s="1"/>
      <c r="T17" s="1"/>
      <c r="U17" s="1"/>
      <c r="V17" s="1"/>
      <c r="W17" s="1"/>
      <c r="X17" s="1"/>
      <c r="Y17" s="1"/>
      <c r="Z17" s="1"/>
    </row>
    <row r="18" ht="33.75" customHeight="1">
      <c r="A18" s="30"/>
      <c r="B18" s="31"/>
      <c r="C18" s="31"/>
      <c r="D18" s="31"/>
      <c r="E18" s="30"/>
      <c r="F18" s="30"/>
      <c r="G18" s="30" t="str">
        <f t="shared" si="1"/>
        <v/>
      </c>
      <c r="H18" s="30" t="str">
        <f t="shared" si="2"/>
        <v/>
      </c>
      <c r="I18" s="31"/>
      <c r="J18" s="31"/>
      <c r="K18" s="30"/>
      <c r="L18" s="31"/>
      <c r="M18" s="1"/>
      <c r="N18" s="1"/>
      <c r="O18" s="1"/>
      <c r="P18" s="1"/>
      <c r="Q18" s="1"/>
      <c r="R18" s="1"/>
      <c r="S18" s="1"/>
      <c r="T18" s="1"/>
      <c r="U18" s="1"/>
      <c r="V18" s="1"/>
      <c r="W18" s="1"/>
      <c r="X18" s="1"/>
      <c r="Y18" s="1"/>
      <c r="Z18" s="1"/>
    </row>
    <row r="19" ht="33.75" customHeight="1">
      <c r="A19" s="30"/>
      <c r="B19" s="31"/>
      <c r="C19" s="31"/>
      <c r="D19" s="31"/>
      <c r="E19" s="30"/>
      <c r="F19" s="30"/>
      <c r="G19" s="30" t="str">
        <f t="shared" si="1"/>
        <v/>
      </c>
      <c r="H19" s="30" t="str">
        <f t="shared" si="2"/>
        <v/>
      </c>
      <c r="I19" s="31"/>
      <c r="J19" s="31"/>
      <c r="K19" s="30"/>
      <c r="L19" s="31"/>
      <c r="M19" s="1"/>
      <c r="N19" s="1"/>
      <c r="O19" s="1"/>
      <c r="P19" s="1"/>
      <c r="Q19" s="1"/>
      <c r="R19" s="1"/>
      <c r="S19" s="1"/>
      <c r="T19" s="1"/>
      <c r="U19" s="1"/>
      <c r="V19" s="1"/>
      <c r="W19" s="1"/>
      <c r="X19" s="1"/>
      <c r="Y19" s="1"/>
      <c r="Z19" s="1"/>
    </row>
    <row r="20" ht="33.75" customHeight="1">
      <c r="A20" s="30"/>
      <c r="B20" s="31"/>
      <c r="C20" s="31"/>
      <c r="D20" s="31"/>
      <c r="E20" s="30"/>
      <c r="F20" s="30"/>
      <c r="G20" s="30" t="str">
        <f t="shared" si="1"/>
        <v/>
      </c>
      <c r="H20" s="30" t="str">
        <f t="shared" si="2"/>
        <v/>
      </c>
      <c r="I20" s="31"/>
      <c r="J20" s="31"/>
      <c r="K20" s="30"/>
      <c r="L20" s="31"/>
      <c r="M20" s="1"/>
      <c r="N20" s="1"/>
      <c r="O20" s="1"/>
      <c r="P20" s="1"/>
      <c r="Q20" s="1"/>
      <c r="R20" s="1"/>
      <c r="S20" s="1"/>
      <c r="T20" s="1"/>
      <c r="U20" s="1"/>
      <c r="V20" s="1"/>
      <c r="W20" s="1"/>
      <c r="X20" s="1"/>
      <c r="Y20" s="1"/>
      <c r="Z20" s="1"/>
    </row>
    <row r="21" ht="33.75" customHeight="1">
      <c r="A21" s="30"/>
      <c r="B21" s="31"/>
      <c r="C21" s="31"/>
      <c r="D21" s="31"/>
      <c r="E21" s="30"/>
      <c r="F21" s="30"/>
      <c r="G21" s="30" t="str">
        <f t="shared" si="1"/>
        <v/>
      </c>
      <c r="H21" s="30" t="str">
        <f t="shared" si="2"/>
        <v/>
      </c>
      <c r="I21" s="31"/>
      <c r="J21" s="31"/>
      <c r="K21" s="30"/>
      <c r="L21" s="31"/>
      <c r="M21" s="1"/>
      <c r="N21" s="1"/>
      <c r="O21" s="1"/>
      <c r="P21" s="1"/>
      <c r="Q21" s="1"/>
      <c r="R21" s="1"/>
      <c r="S21" s="1"/>
      <c r="T21" s="1"/>
      <c r="U21" s="1"/>
      <c r="V21" s="1"/>
      <c r="W21" s="1"/>
      <c r="X21" s="1"/>
      <c r="Y21" s="1"/>
      <c r="Z21" s="1"/>
    </row>
    <row r="22" ht="33.75" customHeight="1">
      <c r="A22" s="30"/>
      <c r="B22" s="31"/>
      <c r="C22" s="31"/>
      <c r="D22" s="31"/>
      <c r="E22" s="30"/>
      <c r="F22" s="30"/>
      <c r="G22" s="30" t="str">
        <f t="shared" si="1"/>
        <v/>
      </c>
      <c r="H22" s="30" t="str">
        <f t="shared" si="2"/>
        <v/>
      </c>
      <c r="I22" s="31"/>
      <c r="J22" s="31"/>
      <c r="K22" s="30"/>
      <c r="L22" s="31"/>
      <c r="M22" s="1"/>
      <c r="N22" s="1"/>
      <c r="O22" s="1"/>
      <c r="P22" s="1"/>
      <c r="Q22" s="1"/>
      <c r="R22" s="1"/>
      <c r="S22" s="1"/>
      <c r="T22" s="1"/>
      <c r="U22" s="1"/>
      <c r="V22" s="1"/>
      <c r="W22" s="1"/>
      <c r="X22" s="1"/>
      <c r="Y22" s="1"/>
      <c r="Z22" s="1"/>
    </row>
    <row r="23" ht="33.75" customHeight="1">
      <c r="A23" s="30"/>
      <c r="B23" s="31"/>
      <c r="C23" s="31"/>
      <c r="D23" s="31"/>
      <c r="E23" s="30"/>
      <c r="F23" s="30"/>
      <c r="G23" s="30" t="str">
        <f t="shared" si="1"/>
        <v/>
      </c>
      <c r="H23" s="30" t="str">
        <f t="shared" si="2"/>
        <v/>
      </c>
      <c r="I23" s="31"/>
      <c r="J23" s="31"/>
      <c r="K23" s="30"/>
      <c r="L23" s="31"/>
      <c r="M23" s="1"/>
      <c r="N23" s="1"/>
      <c r="O23" s="1"/>
      <c r="P23" s="1"/>
      <c r="Q23" s="1"/>
      <c r="R23" s="1"/>
      <c r="S23" s="1"/>
      <c r="T23" s="1"/>
      <c r="U23" s="1"/>
      <c r="V23" s="1"/>
      <c r="W23" s="1"/>
      <c r="X23" s="1"/>
      <c r="Y23" s="1"/>
      <c r="Z23" s="1"/>
    </row>
    <row r="24" ht="33.75" customHeight="1">
      <c r="A24" s="30"/>
      <c r="B24" s="31"/>
      <c r="C24" s="31"/>
      <c r="D24" s="31"/>
      <c r="E24" s="30"/>
      <c r="F24" s="30"/>
      <c r="G24" s="30" t="str">
        <f t="shared" si="1"/>
        <v/>
      </c>
      <c r="H24" s="30" t="str">
        <f t="shared" si="2"/>
        <v/>
      </c>
      <c r="I24" s="31"/>
      <c r="J24" s="31"/>
      <c r="K24" s="30"/>
      <c r="L24" s="31"/>
      <c r="M24" s="1"/>
      <c r="N24" s="1"/>
      <c r="O24" s="1"/>
      <c r="P24" s="1"/>
      <c r="Q24" s="1"/>
      <c r="R24" s="1"/>
      <c r="S24" s="1"/>
      <c r="T24" s="1"/>
      <c r="U24" s="1"/>
      <c r="V24" s="1"/>
      <c r="W24" s="1"/>
      <c r="X24" s="1"/>
      <c r="Y24" s="1"/>
      <c r="Z24" s="1"/>
    </row>
    <row r="25" ht="33.75" customHeight="1">
      <c r="A25" s="30"/>
      <c r="B25" s="31"/>
      <c r="C25" s="31"/>
      <c r="D25" s="31"/>
      <c r="E25" s="30"/>
      <c r="F25" s="30"/>
      <c r="G25" s="30" t="str">
        <f t="shared" si="1"/>
        <v/>
      </c>
      <c r="H25" s="30" t="str">
        <f t="shared" si="2"/>
        <v/>
      </c>
      <c r="I25" s="31"/>
      <c r="J25" s="31"/>
      <c r="K25" s="30"/>
      <c r="L25" s="31"/>
      <c r="M25" s="1"/>
      <c r="N25" s="1"/>
      <c r="O25" s="1"/>
      <c r="P25" s="1"/>
      <c r="Q25" s="1"/>
      <c r="R25" s="1"/>
      <c r="S25" s="1"/>
      <c r="T25" s="1"/>
      <c r="U25" s="1"/>
      <c r="V25" s="1"/>
      <c r="W25" s="1"/>
      <c r="X25" s="1"/>
      <c r="Y25" s="1"/>
      <c r="Z25" s="1"/>
    </row>
    <row r="26" ht="33.75" customHeight="1">
      <c r="A26" s="30"/>
      <c r="B26" s="31"/>
      <c r="C26" s="31"/>
      <c r="D26" s="31"/>
      <c r="E26" s="30"/>
      <c r="F26" s="30"/>
      <c r="G26" s="30" t="str">
        <f t="shared" si="1"/>
        <v/>
      </c>
      <c r="H26" s="30" t="str">
        <f t="shared" si="2"/>
        <v/>
      </c>
      <c r="I26" s="31"/>
      <c r="J26" s="31"/>
      <c r="K26" s="30"/>
      <c r="L26" s="31"/>
      <c r="M26" s="1"/>
      <c r="N26" s="1"/>
      <c r="O26" s="1"/>
      <c r="P26" s="1"/>
      <c r="Q26" s="1"/>
      <c r="R26" s="1"/>
      <c r="S26" s="1"/>
      <c r="T26" s="1"/>
      <c r="U26" s="1"/>
      <c r="V26" s="1"/>
      <c r="W26" s="1"/>
      <c r="X26" s="1"/>
      <c r="Y26" s="1"/>
      <c r="Z26" s="1"/>
    </row>
    <row r="27" ht="33.75" customHeight="1">
      <c r="A27" s="30"/>
      <c r="B27" s="31"/>
      <c r="C27" s="31"/>
      <c r="D27" s="31"/>
      <c r="E27" s="30"/>
      <c r="F27" s="30"/>
      <c r="G27" s="30" t="str">
        <f t="shared" si="1"/>
        <v/>
      </c>
      <c r="H27" s="30" t="str">
        <f t="shared" si="2"/>
        <v/>
      </c>
      <c r="I27" s="31"/>
      <c r="J27" s="31"/>
      <c r="K27" s="30"/>
      <c r="L27" s="31"/>
      <c r="M27" s="1"/>
      <c r="N27" s="1"/>
      <c r="O27" s="1"/>
      <c r="P27" s="1"/>
      <c r="Q27" s="1"/>
      <c r="R27" s="1"/>
      <c r="S27" s="1"/>
      <c r="T27" s="1"/>
      <c r="U27" s="1"/>
      <c r="V27" s="1"/>
      <c r="W27" s="1"/>
      <c r="X27" s="1"/>
      <c r="Y27" s="1"/>
      <c r="Z27" s="1"/>
    </row>
    <row r="28" ht="33.75" customHeight="1">
      <c r="A28" s="30"/>
      <c r="B28" s="31"/>
      <c r="C28" s="31"/>
      <c r="D28" s="31"/>
      <c r="E28" s="30"/>
      <c r="F28" s="30"/>
      <c r="G28" s="30" t="str">
        <f t="shared" si="1"/>
        <v/>
      </c>
      <c r="H28" s="30" t="str">
        <f t="shared" si="2"/>
        <v/>
      </c>
      <c r="I28" s="31"/>
      <c r="J28" s="31"/>
      <c r="K28" s="30"/>
      <c r="L28" s="31"/>
      <c r="M28" s="1"/>
      <c r="N28" s="1"/>
      <c r="O28" s="1"/>
      <c r="P28" s="1"/>
      <c r="Q28" s="1"/>
      <c r="R28" s="1"/>
      <c r="S28" s="1"/>
      <c r="T28" s="1"/>
      <c r="U28" s="1"/>
      <c r="V28" s="1"/>
      <c r="W28" s="1"/>
      <c r="X28" s="1"/>
      <c r="Y28" s="1"/>
      <c r="Z28" s="1"/>
    </row>
    <row r="29" ht="33.75" customHeight="1">
      <c r="A29" s="30"/>
      <c r="B29" s="31"/>
      <c r="C29" s="31"/>
      <c r="D29" s="31"/>
      <c r="E29" s="30"/>
      <c r="F29" s="30"/>
      <c r="G29" s="30" t="str">
        <f t="shared" si="1"/>
        <v/>
      </c>
      <c r="H29" s="30" t="str">
        <f t="shared" si="2"/>
        <v/>
      </c>
      <c r="I29" s="31"/>
      <c r="J29" s="31"/>
      <c r="K29" s="30"/>
      <c r="L29" s="31"/>
      <c r="M29" s="1"/>
      <c r="N29" s="1"/>
      <c r="O29" s="1"/>
      <c r="P29" s="1"/>
      <c r="Q29" s="1"/>
      <c r="R29" s="1"/>
      <c r="S29" s="1"/>
      <c r="T29" s="1"/>
      <c r="U29" s="1"/>
      <c r="V29" s="1"/>
      <c r="W29" s="1"/>
      <c r="X29" s="1"/>
      <c r="Y29" s="1"/>
      <c r="Z29" s="1"/>
    </row>
    <row r="30" ht="33.75" customHeight="1">
      <c r="A30" s="30"/>
      <c r="B30" s="31"/>
      <c r="C30" s="31"/>
      <c r="D30" s="31"/>
      <c r="E30" s="30"/>
      <c r="F30" s="30"/>
      <c r="G30" s="30" t="str">
        <f t="shared" si="1"/>
        <v/>
      </c>
      <c r="H30" s="30" t="str">
        <f t="shared" si="2"/>
        <v/>
      </c>
      <c r="I30" s="31"/>
      <c r="J30" s="31"/>
      <c r="K30" s="30"/>
      <c r="L30" s="31"/>
      <c r="M30" s="1"/>
      <c r="N30" s="1"/>
      <c r="O30" s="1"/>
      <c r="P30" s="1"/>
      <c r="Q30" s="1"/>
      <c r="R30" s="1"/>
      <c r="S30" s="1"/>
      <c r="T30" s="1"/>
      <c r="U30" s="1"/>
      <c r="V30" s="1"/>
      <c r="W30" s="1"/>
      <c r="X30" s="1"/>
      <c r="Y30" s="1"/>
      <c r="Z30" s="1"/>
    </row>
    <row r="31" ht="33.75" customHeight="1">
      <c r="A31" s="30"/>
      <c r="B31" s="31"/>
      <c r="C31" s="31"/>
      <c r="D31" s="31"/>
      <c r="E31" s="30"/>
      <c r="F31" s="30"/>
      <c r="G31" s="30" t="str">
        <f t="shared" si="1"/>
        <v/>
      </c>
      <c r="H31" s="30" t="str">
        <f t="shared" si="2"/>
        <v/>
      </c>
      <c r="I31" s="31"/>
      <c r="J31" s="31"/>
      <c r="K31" s="30"/>
      <c r="L31" s="3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8.0"/>
    <col customWidth="1" min="3" max="3" width="16.0"/>
    <col customWidth="1" min="4" max="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4" t="s">
        <v>6</v>
      </c>
      <c r="C2" s="1"/>
      <c r="D2" s="1"/>
      <c r="E2" s="1"/>
      <c r="F2" s="1"/>
      <c r="G2" s="1"/>
      <c r="H2" s="1"/>
      <c r="I2" s="1"/>
      <c r="J2" s="1"/>
      <c r="K2" s="1"/>
      <c r="L2" s="1"/>
      <c r="M2" s="1"/>
      <c r="N2" s="1"/>
      <c r="O2" s="1"/>
      <c r="P2" s="1"/>
      <c r="Q2" s="1"/>
      <c r="R2" s="1"/>
      <c r="S2" s="1"/>
      <c r="T2" s="1"/>
      <c r="U2" s="1"/>
      <c r="V2" s="1"/>
      <c r="W2" s="1"/>
      <c r="X2" s="1"/>
      <c r="Y2" s="1"/>
      <c r="Z2" s="1"/>
    </row>
    <row r="3">
      <c r="A3" s="1"/>
      <c r="B3" s="5" t="s">
        <v>11</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ht="21.75" customHeight="1">
      <c r="A5" s="1"/>
      <c r="B5" s="7" t="s">
        <v>17</v>
      </c>
      <c r="C5" s="11">
        <f>COUNTA('Risk Register'!A2:A31)</f>
        <v>16</v>
      </c>
      <c r="D5" s="1"/>
      <c r="E5" s="1"/>
      <c r="F5" s="1"/>
      <c r="G5" s="1"/>
      <c r="H5" s="1"/>
      <c r="I5" s="1"/>
      <c r="J5" s="1"/>
      <c r="K5" s="1"/>
      <c r="L5" s="1"/>
      <c r="M5" s="1"/>
      <c r="N5" s="1"/>
      <c r="O5" s="1"/>
      <c r="P5" s="1"/>
      <c r="Q5" s="1"/>
      <c r="R5" s="1"/>
      <c r="S5" s="1"/>
      <c r="T5" s="1"/>
      <c r="U5" s="1"/>
      <c r="V5" s="1"/>
      <c r="W5" s="1"/>
      <c r="X5" s="1"/>
      <c r="Y5" s="1"/>
      <c r="Z5" s="1"/>
    </row>
    <row r="6" ht="21.75" customHeight="1">
      <c r="A6" s="1"/>
      <c r="B6" s="13" t="s">
        <v>23</v>
      </c>
      <c r="C6" s="14">
        <f>COUNTIF('Risk Register'!H2:H31,"Critical")</f>
        <v>13</v>
      </c>
      <c r="D6" s="1"/>
      <c r="E6" s="1"/>
      <c r="F6" s="1"/>
      <c r="G6" s="1"/>
      <c r="H6" s="1"/>
      <c r="I6" s="1"/>
      <c r="J6" s="1"/>
      <c r="K6" s="1"/>
      <c r="L6" s="1"/>
      <c r="M6" s="1"/>
      <c r="N6" s="1"/>
      <c r="O6" s="1"/>
      <c r="P6" s="1"/>
      <c r="Q6" s="1"/>
      <c r="R6" s="1"/>
      <c r="S6" s="1"/>
      <c r="T6" s="1"/>
      <c r="U6" s="1"/>
      <c r="V6" s="1"/>
      <c r="W6" s="1"/>
      <c r="X6" s="1"/>
      <c r="Y6" s="1"/>
      <c r="Z6" s="1"/>
    </row>
    <row r="7" ht="21.75" customHeight="1">
      <c r="A7" s="1"/>
      <c r="B7" s="17" t="s">
        <v>27</v>
      </c>
      <c r="C7" s="18">
        <f>COUNTIF('Risk Register'!H2:H31,"High")</f>
        <v>3</v>
      </c>
      <c r="D7" s="1"/>
      <c r="E7" s="1"/>
      <c r="F7" s="1"/>
      <c r="G7" s="1"/>
      <c r="H7" s="1"/>
      <c r="I7" s="1"/>
      <c r="J7" s="1"/>
      <c r="K7" s="1"/>
      <c r="L7" s="1"/>
      <c r="M7" s="1"/>
      <c r="N7" s="1"/>
      <c r="O7" s="1"/>
      <c r="P7" s="1"/>
      <c r="Q7" s="1"/>
      <c r="R7" s="1"/>
      <c r="S7" s="1"/>
      <c r="T7" s="1"/>
      <c r="U7" s="1"/>
      <c r="V7" s="1"/>
      <c r="W7" s="1"/>
      <c r="X7" s="1"/>
      <c r="Y7" s="1"/>
      <c r="Z7" s="1"/>
    </row>
    <row r="8" ht="21.75" customHeight="1">
      <c r="A8" s="1"/>
      <c r="B8" s="20" t="s">
        <v>34</v>
      </c>
      <c r="C8" s="21">
        <f>COUNTIF('Risk Register'!H2:H31,"Medium")</f>
        <v>0</v>
      </c>
      <c r="D8" s="1"/>
      <c r="E8" s="1"/>
      <c r="F8" s="1"/>
      <c r="G8" s="1"/>
      <c r="H8" s="1"/>
      <c r="I8" s="1"/>
      <c r="J8" s="1"/>
      <c r="K8" s="1"/>
      <c r="L8" s="1"/>
      <c r="M8" s="1"/>
      <c r="N8" s="1"/>
      <c r="O8" s="1"/>
      <c r="P8" s="1"/>
      <c r="Q8" s="1"/>
      <c r="R8" s="1"/>
      <c r="S8" s="1"/>
      <c r="T8" s="1"/>
      <c r="U8" s="1"/>
      <c r="V8" s="1"/>
      <c r="W8" s="1"/>
      <c r="X8" s="1"/>
      <c r="Y8" s="1"/>
      <c r="Z8" s="1"/>
    </row>
    <row r="9" ht="21.75" customHeight="1">
      <c r="A9" s="1"/>
      <c r="B9" s="23" t="s">
        <v>39</v>
      </c>
      <c r="C9" s="24">
        <f>COUNTIF('Risk Register'!H2:H31,"Low")</f>
        <v>0</v>
      </c>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